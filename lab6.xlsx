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sn_p\OneDrive\Рабочий стол\"/>
    </mc:Choice>
  </mc:AlternateContent>
  <xr:revisionPtr revIDLastSave="0" documentId="8_{A1FE9C4A-4DDE-4D09-87D2-B31463F66121}" xr6:coauthVersionLast="47" xr6:coauthVersionMax="47" xr10:uidLastSave="{00000000-0000-0000-0000-000000000000}"/>
  <bookViews>
    <workbookView xWindow="-108" yWindow="-108" windowWidth="23256" windowHeight="13896" xr2:uid="{1764961A-223E-47D7-AF03-A927EBA3BC8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  <c r="L2" i="1"/>
  <c r="K2" i="1"/>
</calcChain>
</file>

<file path=xl/sharedStrings.xml><?xml version="1.0" encoding="utf-8"?>
<sst xmlns="http://schemas.openxmlformats.org/spreadsheetml/2006/main" count="44" uniqueCount="32">
  <si>
    <t>ID</t>
  </si>
  <si>
    <t>Имя</t>
  </si>
  <si>
    <t>Роль</t>
  </si>
  <si>
    <t>Дата найма</t>
  </si>
  <si>
    <t>Дни до первого коммита</t>
  </si>
  <si>
    <t>Результат теста (%)</t>
  </si>
  <si>
    <t>Баги за 30 дней</t>
  </si>
  <si>
    <t>NPS онбординга</t>
  </si>
  <si>
    <t>Статус</t>
  </si>
  <si>
    <t>Анна</t>
  </si>
  <si>
    <t>Backend Dev</t>
  </si>
  <si>
    <t>Михаил</t>
  </si>
  <si>
    <t>AI Engineer</t>
  </si>
  <si>
    <t>Елена</t>
  </si>
  <si>
    <t>Product Manager</t>
  </si>
  <si>
    <t>Алексей</t>
  </si>
  <si>
    <t>Ольга</t>
  </si>
  <si>
    <t>Дмитрий</t>
  </si>
  <si>
    <t>София</t>
  </si>
  <si>
    <t>Иван</t>
  </si>
  <si>
    <t>Мария</t>
  </si>
  <si>
    <t>Артем</t>
  </si>
  <si>
    <t>Успешно</t>
  </si>
  <si>
    <t xml:space="preserve"> Наблюдение</t>
  </si>
  <si>
    <t xml:space="preserve"> Успешно</t>
  </si>
  <si>
    <t xml:space="preserve"> Риск</t>
  </si>
  <si>
    <t>Риск</t>
  </si>
  <si>
    <t>Среднее  дней до первого коммита</t>
  </si>
  <si>
    <t>Корелляция между тестом и багами</t>
  </si>
  <si>
    <t>Процент успешного нбординга</t>
  </si>
  <si>
    <t>Эффективность онбординга по ролям</t>
  </si>
  <si>
    <t>Влияние времени онбординга на качество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</si>
</sst>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9" fontId="3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1" applyFont="1" applyBorder="1"/>
    <xf numFmtId="0" fontId="0" fillId="0" borderId="1" xfId="1" applyNumberFormat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Time to First Commit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Лист1!$C$2:$C$11</c:f>
              <c:strCache>
                <c:ptCount val="10"/>
                <c:pt idx="0">
                  <c:v>Backend Dev</c:v>
                </c:pt>
                <c:pt idx="1">
                  <c:v>AI Engineer</c:v>
                </c:pt>
                <c:pt idx="2">
                  <c:v>Product Manager</c:v>
                </c:pt>
                <c:pt idx="3">
                  <c:v>Backend Dev</c:v>
                </c:pt>
                <c:pt idx="4">
                  <c:v>AI Engineer</c:v>
                </c:pt>
                <c:pt idx="5">
                  <c:v>Backend Dev</c:v>
                </c:pt>
                <c:pt idx="6">
                  <c:v>Product Manager</c:v>
                </c:pt>
                <c:pt idx="7">
                  <c:v>AI Engineer</c:v>
                </c:pt>
                <c:pt idx="8">
                  <c:v>Backend Dev</c:v>
                </c:pt>
                <c:pt idx="9">
                  <c:v>Product Manager</c:v>
                </c:pt>
              </c:strCache>
            </c:strRef>
          </c:cat>
          <c:val>
            <c:numRef>
              <c:f>Лист1!$E$2:$E$11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8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F-465F-AE29-E730F7FE7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026608"/>
        <c:axId val="2000024112"/>
      </c:barChart>
      <c:catAx>
        <c:axId val="20000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0024112"/>
        <c:crosses val="autoZero"/>
        <c:auto val="1"/>
        <c:lblAlgn val="ctr"/>
        <c:lblOffset val="100"/>
        <c:noMultiLvlLbl val="0"/>
      </c:catAx>
      <c:valAx>
        <c:axId val="20000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00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Лист1!$C$2:$C$11</c:f>
              <c:strCache>
                <c:ptCount val="10"/>
                <c:pt idx="0">
                  <c:v>Backend Dev</c:v>
                </c:pt>
                <c:pt idx="1">
                  <c:v>AI Engineer</c:v>
                </c:pt>
                <c:pt idx="2">
                  <c:v>Product Manager</c:v>
                </c:pt>
                <c:pt idx="3">
                  <c:v>Backend Dev</c:v>
                </c:pt>
                <c:pt idx="4">
                  <c:v>AI Engineer</c:v>
                </c:pt>
                <c:pt idx="5">
                  <c:v>Backend Dev</c:v>
                </c:pt>
                <c:pt idx="6">
                  <c:v>Product Manager</c:v>
                </c:pt>
                <c:pt idx="7">
                  <c:v>AI Engineer</c:v>
                </c:pt>
                <c:pt idx="8">
                  <c:v>Backend Dev</c:v>
                </c:pt>
                <c:pt idx="9">
                  <c:v>Product Manager</c:v>
                </c:pt>
              </c:strCache>
            </c:strRef>
          </c:cat>
          <c:val>
            <c:numRef>
              <c:f>Лист1!$H$2:$H$11</c:f>
              <c:numCache>
                <c:formatCode>General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9</c:v>
                </c:pt>
                <c:pt idx="8">
                  <c:v>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7-4ADE-A5C8-998FE36CB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15</xdr:row>
      <xdr:rowOff>140970</xdr:rowOff>
    </xdr:from>
    <xdr:to>
      <xdr:col>6</xdr:col>
      <xdr:colOff>571500</xdr:colOff>
      <xdr:row>30</xdr:row>
      <xdr:rowOff>140970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E4ADD6E-2381-468F-9209-5E4FDBA70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281940</xdr:colOff>
      <xdr:row>15</xdr:row>
      <xdr:rowOff>118110</xdr:rowOff>
    </xdr:from>
    <xdr:to>
      <xdr:col>14</xdr:col>
      <xdr:colOff>502920</xdr:colOff>
      <xdr:row>30</xdr:row>
      <xdr:rowOff>118110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63F6DD3-F039-44BB-B70C-9084F87F9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C7E3-4A20-48CF-B4C2-D0A18A02E867}">
  <dimension ref="A1:O11"/>
  <sheetViews>
    <sheetView tabSelected="1" topLeftCell="A8" workbookViewId="0">
      <selection activeCell="O8" sqref="O8"/>
    </sheetView>
  </sheetViews>
  <sheetFormatPr defaultRowHeight="14.4" x14ac:dyDescent="0.3"/>
  <cols>
    <col min="4" max="4" width="17.109375" bestFit="1" customWidth="1"/>
    <col min="13" max="13" width="10.109375" customWidth="1"/>
    <col min="15" max="15" width="14.5546875" customWidth="1"/>
  </cols>
  <sheetData>
    <row r="1" spans="1:15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</row>
    <row r="2" spans="1:15" ht="26.4" x14ac:dyDescent="0.3">
      <c r="A2" s="2">
        <v>1</v>
      </c>
      <c r="B2" s="2" t="s">
        <v>9</v>
      </c>
      <c r="C2" s="2" t="s">
        <v>10</v>
      </c>
      <c r="D2" s="3">
        <v>45536</v>
      </c>
      <c r="E2" s="2">
        <v>2</v>
      </c>
      <c r="F2" s="2">
        <v>92</v>
      </c>
      <c r="G2" s="2">
        <v>1</v>
      </c>
      <c r="H2" s="2">
        <v>9</v>
      </c>
      <c r="I2" s="2" t="s">
        <v>22</v>
      </c>
      <c r="K2" s="5">
        <f>AVERAGE(E2:E11)</f>
        <v>4.0999999999999996</v>
      </c>
      <c r="L2" s="5">
        <f>CORREL(F2:F11,G2:G11)</f>
        <v>-0.77370947296637871</v>
      </c>
      <c r="M2" s="6">
        <f>COUNTIF(H2:H11, "&gt;= 8") / COUNT(H2:H11)</f>
        <v>0.6</v>
      </c>
      <c r="N2" s="7">
        <f>AVERAGEIF(C2:C11,"Backend Dev",E2:E11)</f>
        <v>3.5</v>
      </c>
      <c r="O2" s="5">
        <f>CORREL(E2:E11,G2:G11)</f>
        <v>0.76344691764673767</v>
      </c>
    </row>
    <row r="3" spans="1:15" ht="39.6" x14ac:dyDescent="0.3">
      <c r="A3" s="2">
        <v>2</v>
      </c>
      <c r="B3" s="2" t="s">
        <v>11</v>
      </c>
      <c r="C3" s="2" t="s">
        <v>12</v>
      </c>
      <c r="D3" s="3">
        <v>45540</v>
      </c>
      <c r="E3" s="2">
        <v>5</v>
      </c>
      <c r="F3" s="2">
        <v>85</v>
      </c>
      <c r="G3" s="2">
        <v>3</v>
      </c>
      <c r="H3" s="2">
        <v>7</v>
      </c>
      <c r="I3" s="2" t="s">
        <v>23</v>
      </c>
    </row>
    <row r="4" spans="1:15" ht="39.6" x14ac:dyDescent="0.3">
      <c r="A4" s="2">
        <v>3</v>
      </c>
      <c r="B4" s="2" t="s">
        <v>13</v>
      </c>
      <c r="C4" s="2" t="s">
        <v>14</v>
      </c>
      <c r="D4" s="3">
        <v>45545</v>
      </c>
      <c r="E4" s="2">
        <v>4</v>
      </c>
      <c r="F4" s="2">
        <v>88</v>
      </c>
      <c r="G4" s="2">
        <v>0</v>
      </c>
      <c r="H4" s="2">
        <v>10</v>
      </c>
      <c r="I4" s="2" t="s">
        <v>24</v>
      </c>
    </row>
    <row r="5" spans="1:15" ht="26.4" x14ac:dyDescent="0.3">
      <c r="A5" s="2">
        <v>4</v>
      </c>
      <c r="B5" s="2" t="s">
        <v>15</v>
      </c>
      <c r="C5" s="2" t="s">
        <v>10</v>
      </c>
      <c r="D5" s="3">
        <v>45550</v>
      </c>
      <c r="E5" s="2">
        <v>1</v>
      </c>
      <c r="F5" s="2">
        <v>95</v>
      </c>
      <c r="G5" s="2">
        <v>0</v>
      </c>
      <c r="H5" s="2">
        <v>9</v>
      </c>
      <c r="I5" s="2" t="s">
        <v>22</v>
      </c>
    </row>
    <row r="6" spans="1:15" ht="26.4" x14ac:dyDescent="0.3">
      <c r="A6" s="2">
        <v>5</v>
      </c>
      <c r="B6" s="2" t="s">
        <v>16</v>
      </c>
      <c r="C6" s="2" t="s">
        <v>12</v>
      </c>
      <c r="D6" s="3">
        <v>45555</v>
      </c>
      <c r="E6" s="2">
        <v>7</v>
      </c>
      <c r="F6" s="2">
        <v>78</v>
      </c>
      <c r="G6" s="2">
        <v>5</v>
      </c>
      <c r="H6" s="2">
        <v>6</v>
      </c>
      <c r="I6" s="2" t="s">
        <v>25</v>
      </c>
    </row>
    <row r="7" spans="1:15" ht="39.6" x14ac:dyDescent="0.3">
      <c r="A7" s="2">
        <v>6</v>
      </c>
      <c r="B7" s="2" t="s">
        <v>17</v>
      </c>
      <c r="C7" s="2" t="s">
        <v>10</v>
      </c>
      <c r="D7" s="3">
        <v>45560</v>
      </c>
      <c r="E7" s="2">
        <v>3</v>
      </c>
      <c r="F7" s="2">
        <v>90</v>
      </c>
      <c r="G7" s="2">
        <v>2</v>
      </c>
      <c r="H7" s="2">
        <v>8</v>
      </c>
      <c r="I7" s="2" t="s">
        <v>24</v>
      </c>
    </row>
    <row r="8" spans="1:15" ht="39.6" x14ac:dyDescent="0.3">
      <c r="A8" s="2">
        <v>7</v>
      </c>
      <c r="B8" s="2" t="s">
        <v>18</v>
      </c>
      <c r="C8" s="2" t="s">
        <v>14</v>
      </c>
      <c r="D8" s="3">
        <v>45565</v>
      </c>
      <c r="E8" s="2">
        <v>6</v>
      </c>
      <c r="F8" s="2">
        <v>82</v>
      </c>
      <c r="G8" s="2">
        <v>1</v>
      </c>
      <c r="H8" s="2">
        <v>7</v>
      </c>
      <c r="I8" s="2" t="s">
        <v>23</v>
      </c>
    </row>
    <row r="9" spans="1:15" ht="26.4" x14ac:dyDescent="0.3">
      <c r="A9" s="2">
        <v>8</v>
      </c>
      <c r="B9" s="2" t="s">
        <v>19</v>
      </c>
      <c r="C9" s="2" t="s">
        <v>12</v>
      </c>
      <c r="D9" s="3">
        <v>45570</v>
      </c>
      <c r="E9" s="2">
        <v>2</v>
      </c>
      <c r="F9" s="2">
        <v>94</v>
      </c>
      <c r="G9" s="2">
        <v>1</v>
      </c>
      <c r="H9" s="2">
        <v>9</v>
      </c>
      <c r="I9" s="2" t="s">
        <v>22</v>
      </c>
    </row>
    <row r="10" spans="1:15" ht="26.4" x14ac:dyDescent="0.3">
      <c r="A10" s="2">
        <v>9</v>
      </c>
      <c r="B10" s="2" t="s">
        <v>20</v>
      </c>
      <c r="C10" s="2" t="s">
        <v>10</v>
      </c>
      <c r="D10" s="3">
        <v>45575</v>
      </c>
      <c r="E10" s="2">
        <v>8</v>
      </c>
      <c r="F10" s="2">
        <v>75</v>
      </c>
      <c r="G10" s="2">
        <v>4</v>
      </c>
      <c r="H10" s="2">
        <v>5</v>
      </c>
      <c r="I10" s="2" t="s">
        <v>26</v>
      </c>
    </row>
    <row r="11" spans="1:15" ht="26.4" x14ac:dyDescent="0.3">
      <c r="A11" s="2">
        <v>10</v>
      </c>
      <c r="B11" s="2" t="s">
        <v>21</v>
      </c>
      <c r="C11" s="2" t="s">
        <v>14</v>
      </c>
      <c r="D11" s="3">
        <v>45580</v>
      </c>
      <c r="E11" s="2">
        <v>3</v>
      </c>
      <c r="F11" s="2">
        <v>89</v>
      </c>
      <c r="G11" s="2">
        <v>0</v>
      </c>
      <c r="H11" s="2">
        <v>8</v>
      </c>
      <c r="I11" s="2" t="s">
        <v>22</v>
      </c>
    </row>
  </sheetData>
  <conditionalFormatting sqref="F2:G1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Парфенов</dc:creator>
  <cp:lastModifiedBy>Виктор Парфенов</cp:lastModifiedBy>
  <dcterms:created xsi:type="dcterms:W3CDTF">2025-11-25T13:43:33Z</dcterms:created>
  <dcterms:modified xsi:type="dcterms:W3CDTF">2025-11-25T14:35:50Z</dcterms:modified>
</cp:coreProperties>
</file>